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<sst xmlns="http://schemas.openxmlformats.org/spreadsheetml/2006/main" count="270" uniqueCount="101">
  <si>
    <t/>
  </si>
  <si>
    <t xml:space="preserve">Bill of Materials </t>
  </si>
  <si>
    <t>BOM_Board1_PCB1_2026-02-01</t>
  </si>
  <si>
    <t>Project Title：</t>
  </si>
  <si>
    <t>STC-FOC驱动</t>
  </si>
  <si>
    <t>Variant:</t>
  </si>
  <si>
    <t xml:space="preserve"> </t>
  </si>
  <si>
    <t>Report Time：</t>
  </si>
  <si>
    <t>2026年2月1日 22:54:45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</si>
  <si>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</si>
  <si>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</si>
  <si>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</si>
  <si>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</si>
  <si>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</si>
  <si>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</si>
  <si>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</si>
  <si>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</si>
  <si>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</si>
  <si>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</si>
  <si>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</si>
  <si>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</si>
  <si>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</si>
  <si>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C4, C5, C6, C29</t>
  </si>
  <si>
    <t>C0402</t>
  </si>
  <si>
    <t>10uF</t>
  </si>
  <si>
    <t>C7, C27, C28</t>
  </si>
  <si>
    <t>C0603</t>
  </si>
  <si>
    <t>22uF</t>
  </si>
  <si>
    <t>C8, C9, C10, C11, C12, C13, C14, C15, C16, C17, C18, C19, C20, C21, C22, C23, C24, C25</t>
  </si>
  <si>
    <t>C0805</t>
  </si>
  <si>
    <t>C26</t>
  </si>
  <si>
    <t>SMAJ16CA</t>
  </si>
  <si>
    <t>D1</t>
  </si>
  <si>
    <t>SMA_L4.4-W2.6-LS5.0-BI</t>
  </si>
  <si>
    <t>DOWO(东沃)</t>
  </si>
  <si>
    <t>C356365</t>
  </si>
  <si>
    <t>LCSC</t>
  </si>
  <si>
    <t>B5819WS</t>
  </si>
  <si>
    <t>D2</t>
  </si>
  <si>
    <t>SOD-323_L1.7-W1.3-LS2.7-RD</t>
  </si>
  <si>
    <t>CCX(晁禾)</t>
  </si>
  <si>
    <t>C51953485</t>
  </si>
  <si>
    <t>LED Chip Blue</t>
  </si>
  <si>
    <t>LED1</t>
  </si>
  <si>
    <t>LEDC1608(0603)-L</t>
  </si>
  <si>
    <t>ZH1.5-6P</t>
  </si>
  <si>
    <t>P1</t>
  </si>
  <si>
    <t>ZH1.5-6P-SH</t>
  </si>
  <si>
    <t>GH1.25-6P</t>
  </si>
  <si>
    <t>P2</t>
  </si>
  <si>
    <t>GH1.25-6P-SH</t>
  </si>
  <si>
    <t>WirePad</t>
  </si>
  <si>
    <t>P3, P4, P5, P6, P7</t>
  </si>
  <si>
    <t>WirePad-3x4</t>
  </si>
  <si>
    <t>Header-D-M 1x4P</t>
  </si>
  <si>
    <t>P8</t>
  </si>
  <si>
    <t>HDR1X4-M</t>
  </si>
  <si>
    <t>510R</t>
  </si>
  <si>
    <t>R1</t>
  </si>
  <si>
    <t>R0402</t>
  </si>
  <si>
    <t>47K</t>
  </si>
  <si>
    <t>R2</t>
  </si>
  <si>
    <t>100R</t>
  </si>
  <si>
    <t>R3, R6, R7</t>
  </si>
  <si>
    <t>10K</t>
  </si>
  <si>
    <t>R4</t>
  </si>
  <si>
    <t>1K</t>
  </si>
  <si>
    <t>R5, R8, R9</t>
  </si>
  <si>
    <t>2K</t>
  </si>
  <si>
    <t>R10, R11</t>
  </si>
  <si>
    <t>R12, R13</t>
  </si>
  <si>
    <t>R0603</t>
  </si>
  <si>
    <t>4.7R</t>
  </si>
  <si>
    <t>R14, R15, R16, R17, R18, R19</t>
  </si>
  <si>
    <t>STC32G12K128-35I-QFN32</t>
  </si>
  <si>
    <t>U1</t>
  </si>
  <si>
    <t>QFN32-4x4</t>
  </si>
  <si>
    <t>NSG0462UQ</t>
  </si>
  <si>
    <t>U2</t>
  </si>
  <si>
    <t>QFN16-3x3-0.5</t>
  </si>
  <si>
    <t>AGM314MAP</t>
  </si>
  <si>
    <t>U3, U4, U5</t>
  </si>
  <si>
    <t>PDFN-8_L3.2-W3.1-P0.65-LS3.4-BL-EP2</t>
  </si>
  <si>
    <t>AGMSEMI(芯控源)</t>
  </si>
  <si>
    <t>C17701056</t>
  </si>
  <si>
    <t>Project Title</t>
  </si>
  <si>
    <t>Borard Title</t>
  </si>
  <si>
    <t>Board1</t>
  </si>
  <si>
    <t>Schematic Title</t>
  </si>
  <si>
    <t>PCB Title</t>
  </si>
  <si>
    <t>PCB1</t>
  </si>
  <si>
    <t>Variant Name</t>
  </si>
  <si>
    <t>Total Quantity</t>
  </si>
  <si>
    <t>Report Time</t>
  </si>
  <si>
    <t>22:54:45</t>
  </si>
  <si>
    <t>Report Date</t>
  </si>
  <si>
    <t>2026年2月1日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</si>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</sst>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4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3</v>
      </c>
      <c r="C8" s="9" t="s">
        <v>24</v>
      </c>
      <c r="D8" s="9" t="s">
        <v>25</v>
      </c>
      <c r="E8" s="9" t="s">
        <v>26</v>
      </c>
      <c r="F8" s="9" t="s">
        <v>24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18</v>
      </c>
      <c r="C9" s="9" t="s">
        <v>27</v>
      </c>
      <c r="D9" s="9" t="s">
        <v>28</v>
      </c>
      <c r="E9" s="9" t="s">
        <v>29</v>
      </c>
      <c r="F9" s="9" t="s">
        <v>27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21</v>
      </c>
      <c r="D10" s="9" t="s">
        <v>30</v>
      </c>
      <c r="E10" s="9" t="s">
        <v>26</v>
      </c>
      <c r="F10" s="9" t="s">
        <v>21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1</v>
      </c>
      <c r="C11" s="9" t="s">
        <v>31</v>
      </c>
      <c r="D11" s="9" t="s">
        <v>32</v>
      </c>
      <c r="E11" s="9" t="s">
        <v>33</v>
      </c>
      <c r="F11" s="9" t="s">
        <v>0</v>
      </c>
      <c r="G11" s="9" t="s">
        <v>31</v>
      </c>
      <c r="H11" s="9" t="s">
        <v>34</v>
      </c>
      <c r="I11" s="9" t="s">
        <v>35</v>
      </c>
      <c r="J11" s="9" t="s">
        <v>36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37</v>
      </c>
      <c r="D12" s="9" t="s">
        <v>38</v>
      </c>
      <c r="E12" s="9" t="s">
        <v>39</v>
      </c>
      <c r="F12" s="9" t="s">
        <v>0</v>
      </c>
      <c r="G12" s="9" t="s">
        <v>37</v>
      </c>
      <c r="H12" s="9" t="s">
        <v>40</v>
      </c>
      <c r="I12" s="9" t="s">
        <v>41</v>
      </c>
      <c r="J12" s="9" t="s">
        <v>36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42</v>
      </c>
      <c r="D13" s="9" t="s">
        <v>43</v>
      </c>
      <c r="E13" s="9" t="s">
        <v>44</v>
      </c>
      <c r="F13" s="9" t="s">
        <v>0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45</v>
      </c>
      <c r="D14" s="9" t="s">
        <v>46</v>
      </c>
      <c r="E14" s="9" t="s">
        <v>47</v>
      </c>
      <c r="F14" s="9" t="s">
        <v>45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48</v>
      </c>
      <c r="D15" s="9" t="s">
        <v>49</v>
      </c>
      <c r="E15" s="9" t="s">
        <v>50</v>
      </c>
      <c r="F15" s="9" t="s">
        <v>48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5</v>
      </c>
      <c r="C16" s="9" t="s">
        <v>51</v>
      </c>
      <c r="D16" s="9" t="s">
        <v>52</v>
      </c>
      <c r="E16" s="9" t="s">
        <v>53</v>
      </c>
      <c r="F16" s="9" t="s">
        <v>0</v>
      </c>
      <c r="G16" s="9" t="s">
        <v>0</v>
      </c>
      <c r="H16" s="9" t="s">
        <v>0</v>
      </c>
      <c r="I16" s="9" t="s">
        <v>0</v>
      </c>
      <c r="J16" s="9" t="s">
        <v>0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54</v>
      </c>
      <c r="D17" s="9" t="s">
        <v>55</v>
      </c>
      <c r="E17" s="9" t="s">
        <v>56</v>
      </c>
      <c r="F17" s="9" t="s">
        <v>54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57</v>
      </c>
      <c r="D18" s="9" t="s">
        <v>58</v>
      </c>
      <c r="E18" s="9" t="s">
        <v>59</v>
      </c>
      <c r="F18" s="9" t="s">
        <v>57</v>
      </c>
      <c r="G18" s="9" t="s">
        <v>0</v>
      </c>
      <c r="H18" s="9" t="s">
        <v>0</v>
      </c>
      <c r="I18" s="9" t="s">
        <v>0</v>
      </c>
      <c r="J18" s="9" t="s">
        <v>0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60</v>
      </c>
      <c r="D19" s="9" t="s">
        <v>61</v>
      </c>
      <c r="E19" s="9" t="s">
        <v>59</v>
      </c>
      <c r="F19" s="9" t="s">
        <v>60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3</v>
      </c>
      <c r="C20" s="9" t="s">
        <v>62</v>
      </c>
      <c r="D20" s="9" t="s">
        <v>63</v>
      </c>
      <c r="E20" s="9" t="s">
        <v>59</v>
      </c>
      <c r="F20" s="9" t="s">
        <v>62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64</v>
      </c>
      <c r="D21" s="9" t="s">
        <v>65</v>
      </c>
      <c r="E21" s="9" t="s">
        <v>59</v>
      </c>
      <c r="F21" s="9" t="s">
        <v>64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3</v>
      </c>
      <c r="C22" s="9" t="s">
        <v>66</v>
      </c>
      <c r="D22" s="9" t="s">
        <v>67</v>
      </c>
      <c r="E22" s="9" t="s">
        <v>59</v>
      </c>
      <c r="F22" s="9" t="s">
        <v>66</v>
      </c>
      <c r="G22" s="9" t="s">
        <v>0</v>
      </c>
      <c r="H22" s="9" t="s">
        <v>0</v>
      </c>
      <c r="I22" s="9" t="s">
        <v>0</v>
      </c>
      <c r="J22" s="9" t="s">
        <v>0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2</v>
      </c>
      <c r="C23" s="9" t="s">
        <v>68</v>
      </c>
      <c r="D23" s="9" t="s">
        <v>69</v>
      </c>
      <c r="E23" s="9" t="s">
        <v>59</v>
      </c>
      <c r="F23" s="9" t="s">
        <v>68</v>
      </c>
      <c r="G23" s="9" t="s">
        <v>0</v>
      </c>
      <c r="H23" s="9" t="s">
        <v>0</v>
      </c>
      <c r="I23" s="9" t="s">
        <v>0</v>
      </c>
      <c r="J23" s="9" t="s">
        <v>0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2</v>
      </c>
      <c r="C24" s="9" t="s">
        <v>62</v>
      </c>
      <c r="D24" s="9" t="s">
        <v>70</v>
      </c>
      <c r="E24" s="9" t="s">
        <v>71</v>
      </c>
      <c r="F24" s="9" t="s">
        <v>62</v>
      </c>
      <c r="G24" s="9" t="s">
        <v>0</v>
      </c>
      <c r="H24" s="9" t="s">
        <v>0</v>
      </c>
      <c r="I24" s="9" t="s">
        <v>0</v>
      </c>
      <c r="J24" s="9" t="s">
        <v>0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6</v>
      </c>
      <c r="C25" s="9" t="s">
        <v>72</v>
      </c>
      <c r="D25" s="9" t="s">
        <v>73</v>
      </c>
      <c r="E25" s="9" t="s">
        <v>59</v>
      </c>
      <c r="F25" s="9" t="s">
        <v>72</v>
      </c>
      <c r="G25" s="9" t="s">
        <v>0</v>
      </c>
      <c r="H25" s="9" t="s">
        <v>0</v>
      </c>
      <c r="I25" s="9" t="s">
        <v>0</v>
      </c>
      <c r="J25" s="9" t="s">
        <v>0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74</v>
      </c>
      <c r="D26" s="9" t="s">
        <v>75</v>
      </c>
      <c r="E26" s="9" t="s">
        <v>76</v>
      </c>
      <c r="F26" s="9" t="s">
        <v>0</v>
      </c>
      <c r="G26" s="9" t="s">
        <v>0</v>
      </c>
      <c r="H26" s="9" t="s">
        <v>0</v>
      </c>
      <c r="I26" s="9" t="s">
        <v>0</v>
      </c>
      <c r="J26" s="9" t="s">
        <v>0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77</v>
      </c>
      <c r="D27" s="9" t="s">
        <v>78</v>
      </c>
      <c r="E27" s="9" t="s">
        <v>79</v>
      </c>
      <c r="F27" s="9" t="s">
        <v>0</v>
      </c>
      <c r="G27" s="9" t="s">
        <v>0</v>
      </c>
      <c r="H27" s="9" t="s">
        <v>0</v>
      </c>
      <c r="I27" s="9" t="s">
        <v>0</v>
      </c>
      <c r="J27" s="9" t="s">
        <v>0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3</v>
      </c>
      <c r="C28" s="9" t="s">
        <v>80</v>
      </c>
      <c r="D28" s="9" t="s">
        <v>81</v>
      </c>
      <c r="E28" s="9" t="s">
        <v>82</v>
      </c>
      <c r="F28" s="9" t="s">
        <v>0</v>
      </c>
      <c r="G28" s="9" t="s">
        <v>80</v>
      </c>
      <c r="H28" s="9" t="s">
        <v>83</v>
      </c>
      <c r="I28" s="9" t="s">
        <v>84</v>
      </c>
      <c r="J28" s="9" t="s">
        <v>36</v>
      </c>
      <c r="K28" s="9" t="s">
        <v>0</v>
      </c>
      <c r="L28" s="10">
        <f>B28*K28</f>
      </c>
    </row>
    <row r="29" spans="1:12" x14ac:dyDescent="0.25">
      <c r="A29" s="8">
        <f>ROW()-6</f>
      </c>
      <c r="B29" s="11">
        <f>SUM(L7:L28)</f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</sheetData>
  <mergeCells count="4">
    <mergeCell ref="A1:D5"/>
    <mergeCell ref="E1:E2"/>
    <mergeCell ref="F1:F2"/>
    <mergeCell ref="B29:L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85</v>
      </c>
      <c r="B1" s="6" t="s">
        <v>4</v>
      </c>
    </row>
    <row r="2" spans="1:2" x14ac:dyDescent="0.25">
      <c r="A2" s="6" t="s">
        <v>86</v>
      </c>
      <c r="B2" s="6" t="s">
        <v>87</v>
      </c>
    </row>
    <row r="3" spans="1:2" x14ac:dyDescent="0.25">
      <c r="A3" s="6" t="s">
        <v>88</v>
      </c>
      <c r="B3" s="6" t="s">
        <v>6</v>
      </c>
    </row>
    <row r="4" spans="1:2" x14ac:dyDescent="0.25">
      <c r="A4" s="6" t="s">
        <v>89</v>
      </c>
      <c r="B4" s="6" t="s">
        <v>90</v>
      </c>
    </row>
    <row r="5" spans="1:2" x14ac:dyDescent="0.25">
      <c r="A5" s="6" t="s">
        <v>91</v>
      </c>
      <c r="B5" s="6" t="s">
        <v>6</v>
      </c>
    </row>
    <row r="6" spans="1:2" x14ac:dyDescent="0.25">
      <c r="A6" s="6" t="s">
        <v>92</v>
      </c>
      <c r="B6" s="6">
        <v>61</v>
      </c>
    </row>
    <row r="7" spans="1:2" x14ac:dyDescent="0.25">
      <c r="A7" s="6" t="s">
        <v>93</v>
      </c>
      <c r="B7" s="6" t="s">
        <v>94</v>
      </c>
    </row>
    <row r="8" spans="1:2" x14ac:dyDescent="0.25">
      <c r="A8" s="6" t="s">
        <v>95</v>
      </c>
      <c r="B8" s="6" t="s">
        <v>96</v>
      </c>
    </row>
    <row r="9" spans="1:2" x14ac:dyDescent="0.25">
      <c r="A9" s="6" t="s">
        <v>97</v>
      </c>
      <c r="B9" s="6" t="s">
        <v>8</v>
      </c>
    </row>
    <row r="10" spans="1:2" x14ac:dyDescent="0.25">
      <c r="A10" s="6" t="s">
        <v>98</v>
      </c>
      <c r="B10" s="6" t="s">
        <v>2</v>
      </c>
    </row>
    <row r="11" spans="1:2" x14ac:dyDescent="0.25">
      <c r="A11" s="6" t="s">
        <v>99</v>
      </c>
      <c r="B11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2026-02-01T14:54:45Z</dcterms:modified>
</cp:coreProperties>
</file>